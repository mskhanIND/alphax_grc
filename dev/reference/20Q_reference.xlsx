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mc:AlternateContent xmlns:mc="http://schemas.openxmlformats.org/markup-compatibility/2006">
    <mc:Choice Requires="x15">
      <x15ac:absPath xmlns:x15ac="http://schemas.microsoft.com/office/spreadsheetml/2010/11/ac" url="https://irsaabusinesssolution-my.sharepoint.com/personal/ezzam_irsaa_com/Documents/Audit Share Folder/Audit Projects/Other Projects/GRC &amp; Audit Assessment/Internal audit Assessment/"/>
    </mc:Choice>
  </mc:AlternateContent>
  <xr:revisionPtr revIDLastSave="2" documentId="8_{055FE64D-6066-4670-8E63-9AA27A462E5C}" xr6:coauthVersionLast="47" xr6:coauthVersionMax="47" xr10:uidLastSave="{3D556C1A-157D-42A3-B70B-F1493B241A17}"/>
  <bookViews>
    <workbookView xWindow="-108" yWindow="-108" windowWidth="23256" windowHeight="12456" tabRatio="500" xr2:uid="{00000000-000D-0000-FFFF-FFFF00000000}"/>
  </bookViews>
  <sheets>
    <sheet name="Questionnaire" sheetId="1" r:id="rId1"/>
    <sheet name="Scoring Summary" sheetId="2" r:id="rId2"/>
    <sheet name="Maturity Scale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1" i="2" l="1"/>
  <c r="F10" i="2"/>
  <c r="G10" i="2" s="1"/>
  <c r="H10" i="2" s="1"/>
  <c r="D10" i="2"/>
  <c r="F9" i="2"/>
  <c r="G9" i="2" s="1"/>
  <c r="H9" i="2" s="1"/>
  <c r="D9" i="2"/>
  <c r="D8" i="2"/>
  <c r="F7" i="2"/>
  <c r="G7" i="2" s="1"/>
  <c r="H7" i="2" s="1"/>
  <c r="D7" i="2"/>
  <c r="F6" i="2"/>
  <c r="G6" i="2" s="1"/>
  <c r="H6" i="2" s="1"/>
  <c r="D6" i="2"/>
  <c r="D5" i="2"/>
  <c r="D11" i="2" s="1"/>
  <c r="H30" i="1"/>
  <c r="H29" i="1"/>
  <c r="H28" i="1"/>
  <c r="H26" i="1"/>
  <c r="H25" i="1"/>
  <c r="H24" i="1"/>
  <c r="H23" i="1"/>
  <c r="H21" i="1"/>
  <c r="F8" i="2" s="1"/>
  <c r="G8" i="2" s="1"/>
  <c r="H8" i="2" s="1"/>
  <c r="H20" i="1"/>
  <c r="H19" i="1"/>
  <c r="H18" i="1"/>
  <c r="H16" i="1"/>
  <c r="H15" i="1"/>
  <c r="H14" i="1"/>
  <c r="H12" i="1"/>
  <c r="H11" i="1"/>
  <c r="H10" i="1"/>
  <c r="H8" i="1"/>
  <c r="H7" i="1"/>
  <c r="H6" i="1"/>
  <c r="F5" i="2" s="1"/>
  <c r="F11" i="2" l="1"/>
  <c r="G11" i="2" s="1"/>
  <c r="H11" i="2" s="1"/>
  <c r="G5" i="2"/>
  <c r="H5" i="2" s="1"/>
</calcChain>
</file>

<file path=xl/sharedStrings.xml><?xml version="1.0" encoding="utf-8"?>
<sst xmlns="http://schemas.openxmlformats.org/spreadsheetml/2006/main" count="220" uniqueCount="211">
  <si>
    <t>Internal Audit Function Maturity Assessment – Revised Questionnaire (20 Questions / 6 Sections)</t>
  </si>
  <si>
    <t>How to use: select A, B, C or D in the yellow 'Selected' column. Scores and the summary calculate automatically. A=25, B=50, C=75, D=100 points.</t>
  </si>
  <si>
    <t>Q#</t>
  </si>
  <si>
    <t>Question</t>
  </si>
  <si>
    <t>A (25%)</t>
  </si>
  <si>
    <t>B (50%)</t>
  </si>
  <si>
    <t>C (75%)</t>
  </si>
  <si>
    <t>D (100%)</t>
  </si>
  <si>
    <t>Selected</t>
  </si>
  <si>
    <t>Score</t>
  </si>
  <si>
    <t>Original Q#</t>
  </si>
  <si>
    <t>SECTION 1: GOVERNANCE, INDEPENDENCE &amp; ETHICS</t>
  </si>
  <si>
    <t>Reference: IIA GIAS Domains II–III (Principles 2, 6–8); CMA Corporate Governance Regulations (Audit Committee); Companies Law</t>
  </si>
  <si>
    <t>Q1</t>
  </si>
  <si>
    <t>How is the independence of the Internal Audit function established through its reporting lines?</t>
  </si>
  <si>
    <t>Reports administratively to the CEO/CFO with no direct Audit Committee reporting</t>
  </si>
  <si>
    <t>Reports functionally to the Audit Committee, but plan, budget and CAE appraisal are set by management</t>
  </si>
  <si>
    <t>Dual reporting: functionally to the Audit Committee (approves charter, plan and budget), administratively to the CEO</t>
  </si>
  <si>
    <t>Audit Committee governs all matters incl. CAE appointment, remuneration and appraisal; independence externally validated</t>
  </si>
  <si>
    <t>C</t>
  </si>
  <si>
    <t>Q2</t>
  </si>
  <si>
    <t>How are auditor objectivity and freedom from management interference safeguarded?</t>
  </si>
  <si>
    <t>Management influences scope, timing or findings; no conflict-of-interest checks</t>
  </si>
  <si>
    <t>CAE decides scope, but conflict declarations and staff rotation are informal</t>
  </si>
  <si>
    <t>Annual independence declarations, formal rotation policy and unrestricted CAE access to the Audit Committee; interference formally prohibited</t>
  </si>
  <si>
    <t>As level C, plus independence and objectivity confirmed by an external quality assessor</t>
  </si>
  <si>
    <t>Q2 + Q3</t>
  </si>
  <si>
    <t>Q3</t>
  </si>
  <si>
    <t>How mature is the whistleblowing and fraud risk process supported by Internal Audit?</t>
  </si>
  <si>
    <t>No formal whistleblowing channel or fraud risk assessment</t>
  </si>
  <si>
    <t>Basic channel exists but is poorly communicated; fraud considered ad hoc</t>
  </si>
  <si>
    <t>Formal, confidential and anonymous channel with Audit Committee oversight; fraud risk built into the audit plan</t>
  </si>
  <si>
    <t>Independently reviewed; investigations by certified specialists (e.g., CFE) and fraud analytics in use</t>
  </si>
  <si>
    <t>Q30</t>
  </si>
  <si>
    <t>SECTION 2: RISK-BASED AUDIT PLANNING</t>
  </si>
  <si>
    <t>Reference: IIA GIAS Principle 9 (Plan Strategically); Standard 9.4 Internal Audit Plan</t>
  </si>
  <si>
    <t>Q4</t>
  </si>
  <si>
    <t>How is the annual audit plan developed and kept current?</t>
  </si>
  <si>
    <t>Cyclical schedule without formal risk assessment; plan fixed for the year</t>
  </si>
  <si>
    <t>Formal annual risk assessment, but the plan is rarely adjusted in-year</t>
  </si>
  <si>
    <t>Risk-based methodology aligned to ERM, strategy and regulatory change; reviewed at least quarterly with Audit Committee approval</t>
  </si>
  <si>
    <t>Dynamic plan updated continuously using data analytics and risk indicators; methodology externally benchmarked</t>
  </si>
  <si>
    <t>Q4 + Q5</t>
  </si>
  <si>
    <t>Q5</t>
  </si>
  <si>
    <t>How effectively are emerging risks identified and incorporated into the plan?</t>
  </si>
  <si>
    <t>Only when management highlights them</t>
  </si>
  <si>
    <t>Discussed informally but not documented</t>
  </si>
  <si>
    <t>Systematically identified through horizon scanning and included in the plan</t>
  </si>
  <si>
    <t>Advanced tools (AI, external horizon scans) used and independently validated</t>
  </si>
  <si>
    <t>Q6</t>
  </si>
  <si>
    <t>How is stakeholder input and assurance coordination built into planning?</t>
  </si>
  <si>
    <t>Stakeholder input not formally sought</t>
  </si>
  <si>
    <t>Management consulted informally; no structured feedback</t>
  </si>
  <si>
    <t>Structured annual consultation with the Board, Audit Committee, management and second-line functions; assurance map maintained</t>
  </si>
  <si>
    <t>Continuous engagement through a combined-assurance model; externally benchmarked</t>
  </si>
  <si>
    <t>Q7</t>
  </si>
  <si>
    <t>SECTION 3: AUDIT EXECUTION, METHODOLOGY &amp; ANALYTICS</t>
  </si>
  <si>
    <t>Reference: IIA GIAS Principles 13–14 (Plan and Conduct Engagements); Standard 4.3 Professional Skepticism</t>
  </si>
  <si>
    <t>How standardized is the audit methodology and how is professional skepticism applied?</t>
  </si>
  <si>
    <t>Methodology varies by auditor; skepticism not emphasized</t>
  </si>
  <si>
    <t>Basic methodology applied inconsistently; skepticism covered in training only</t>
  </si>
  <si>
    <t>Comprehensive methodology aligned with the IIA Standards, applied consistently; skepticism embedded and reinforced</t>
  </si>
  <si>
    <t>Methodology periodically benchmarked and externally validated, including evidence of skepticism</t>
  </si>
  <si>
    <t>Q8 + Q11</t>
  </si>
  <si>
    <t>Q8</t>
  </si>
  <si>
    <t>How is engagement supervision and work paper quality ensured?</t>
  </si>
  <si>
    <t>Self-reviewed by the auditor with minimal oversight</t>
  </si>
  <si>
    <t>Supervisor review, often incomplete</t>
  </si>
  <si>
    <t>Formal supervisory and QA review process documented on every engagement</t>
  </si>
  <si>
    <t>Work papers subject to independent QA review as part of external assessment</t>
  </si>
  <si>
    <t>Q10</t>
  </si>
  <si>
    <t>Q9</t>
  </si>
  <si>
    <t>How effectively are data analytics and digital audit tools used?</t>
  </si>
  <si>
    <t>Manual testing only; no audit management software</t>
  </si>
  <si>
    <t>Basic audit management software; analytics used selectively</t>
  </si>
  <si>
    <t>Analytics systematically integrated into engagements with automated workflows</t>
  </si>
  <si>
    <t>Continuous auditing and monitoring using AI/RPA; independently benchmarked</t>
  </si>
  <si>
    <t>Q9 + Q25</t>
  </si>
  <si>
    <t>SECTION 4: REPORTING, ISSUE MANAGEMENT &amp; FOLLOW-UP</t>
  </si>
  <si>
    <t>Reference: IIA GIAS Principles 11 and 15 (Communicate Results and Monitor Action Plans)</t>
  </si>
  <si>
    <t>How timely, clear and well-communicated are audit reports?</t>
  </si>
  <si>
    <t>Often delayed and unclear; communication largely informal</t>
  </si>
  <si>
    <t>Issued on time but inconsistent, with limited discussion</t>
  </si>
  <si>
    <t>Standardized, timely, risk-rated reports with agreed action plans and formal closing meetings</t>
  </si>
  <si>
    <t>Reporting includes KPIs and thematic or trend insights; externally validated</t>
  </si>
  <si>
    <t>Q12 + Q13</t>
  </si>
  <si>
    <t>Q11</t>
  </si>
  <si>
    <t>How are disagreements between management and Internal Audit resolved?</t>
  </si>
  <si>
    <t>Escalated informally with no documented process</t>
  </si>
  <si>
    <t>Discussed, but management decides</t>
  </si>
  <si>
    <t>Formal escalation process; unresolved issues reported to the Audit Committee</t>
  </si>
  <si>
    <t>Escalation process independently reviewed</t>
  </si>
  <si>
    <t>Q14</t>
  </si>
  <si>
    <t>Q12</t>
  </si>
  <si>
    <t>How are audit issues tracked and management's remediation validated?</t>
  </si>
  <si>
    <t>Informal tracking; relies on management's confirmation</t>
  </si>
  <si>
    <t>Issues logged; follow-up and validation inconsistent</t>
  </si>
  <si>
    <t>Formal system with owners, due dates and status reporting to the Audit Committee; documented verification of remediation</t>
  </si>
  <si>
    <t>As level C, plus independent validation of high-priority remediation</t>
  </si>
  <si>
    <t>Q15 + Q16</t>
  </si>
  <si>
    <t>Q13</t>
  </si>
  <si>
    <t>What is the average time to close audit issues?</t>
  </si>
  <si>
    <t>Most remain open more than 12 months</t>
  </si>
  <si>
    <t>Closed on average within 9–12 months</t>
  </si>
  <si>
    <t>Most closed within 6–9 months; overdue items escalated</t>
  </si>
  <si>
    <t>Average closure within 3–6 months; independently validated</t>
  </si>
  <si>
    <t>Q17</t>
  </si>
  <si>
    <t>SECTION 5: RESOURCES, PERFORMANCE &amp; QUALITY ASSURANCE</t>
  </si>
  <si>
    <t>Reference: IIA GIAS Principles 3, 10 and 12 (Competency, Manage Resources, Enhance Quality)</t>
  </si>
  <si>
    <t>How adequate are resources, including use of external specialists?</t>
  </si>
  <si>
    <t>Significantly under-resourced; specialists rarely engaged</t>
  </si>
  <si>
    <t>Minimum resources; specialists used occasionally</t>
  </si>
  <si>
    <t>Resource plan approved by the Audit Committee with a defined co-sourcing and specialist strategy</t>
  </si>
  <si>
    <t>Resourcing benchmarked periodically; specialist use strategically planned and evaluated</t>
  </si>
  <si>
    <t>Q18 + Q20</t>
  </si>
  <si>
    <t>Q15</t>
  </si>
  <si>
    <t>How robust is the competency and training program?</t>
  </si>
  <si>
    <t>No formal training program</t>
  </si>
  <si>
    <t>Limited training not linked to skill gaps</t>
  </si>
  <si>
    <t>Formal competency framework with required certifications (CIA, CISA, CFE, SOCPA)</t>
  </si>
  <si>
    <t>Competency framework externally benchmarked and validated</t>
  </si>
  <si>
    <t>Q19</t>
  </si>
  <si>
    <t>Q16</t>
  </si>
  <si>
    <t>How is IA performance and stakeholder satisfaction measured?</t>
  </si>
  <si>
    <t>Not measured</t>
  </si>
  <si>
    <t>Measured by audit days or plan completion; informal feedback</t>
  </si>
  <si>
    <t>Balanced KPIs (quality, timeliness, value) and annual stakeholder surveys used for improvement</t>
  </si>
  <si>
    <t>KPIs and satisfaction benchmarked against peers and externally validated</t>
  </si>
  <si>
    <t>Q21 + Q23</t>
  </si>
  <si>
    <t>How mature is the Quality Assurance and Improvement Program (QAIP)?</t>
  </si>
  <si>
    <t>No formal QAIP</t>
  </si>
  <si>
    <t>Internal reviews limited in scope</t>
  </si>
  <si>
    <t>Comprehensive QAIP with internal assessments and an external assessment at least every 5 years</t>
  </si>
  <si>
    <t>More frequent external assessments (e.g., every 3 years) with consistent general conformance</t>
  </si>
  <si>
    <t>Q22</t>
  </si>
  <si>
    <t>SECTION 6: STRATEGIC VALUE, TECHNOLOGY &amp; REGULATORY COMPLIANCE</t>
  </si>
  <si>
    <t>Reference: IIA GIAS Principle 9; NCA Essential Cybersecurity Controls (ECC); SAMA, CMA, ZATCA and PDPL requirements</t>
  </si>
  <si>
    <t>Q18</t>
  </si>
  <si>
    <t>How does Internal Audit contribute to strategy and adapt to regulatory and technological change?</t>
  </si>
  <si>
    <t>Compliance and financial audits only; reacts after changes occur</t>
  </si>
  <si>
    <t>Occasional advisory support; changes adopted slowly</t>
  </si>
  <si>
    <t>Systematic insight on strategy, risk and governance; plan and methodology adapted proactively</t>
  </si>
  <si>
    <t>Trusted strategic advisor with forward-looking insight; adaptability independently assessed</t>
  </si>
  <si>
    <t>Q24 + Q26</t>
  </si>
  <si>
    <t>How effective is Internal Audit in auditing technology and cybersecurity?</t>
  </si>
  <si>
    <t>Limited or not conducted</t>
  </si>
  <si>
    <t>Basic IT audits lacking depth</t>
  </si>
  <si>
    <t>Comprehensive IT audits aligned with NCA ECC, COBIT and ISO 27001</t>
  </si>
  <si>
    <t>Independently reviewed; certified specialists perform technology audits</t>
  </si>
  <si>
    <t>Q27</t>
  </si>
  <si>
    <t>Q20</t>
  </si>
  <si>
    <t>How effectively does Internal Audit cover regulatory compliance and coordinate with regulators?</t>
  </si>
  <si>
    <t>Compliance audits not conducted; minimal regulator interaction</t>
  </si>
  <si>
    <t>Limited compliance audits; regulatory updates received passively</t>
  </si>
  <si>
    <t>Comprehensive compliance universe (SAMA, CMA, NCA, ZATCA, PDPL) audited; proactive engagement on regulatory findings</t>
  </si>
  <si>
    <t>Compliance coverage independently validated and benchmarked; coordination assessed in external QA</t>
  </si>
  <si>
    <t>Q28 + Q29</t>
  </si>
  <si>
    <t>Assessment Scoring Summary</t>
  </si>
  <si>
    <t>All figures are formulas linked to the Questionnaire sheet.</t>
  </si>
  <si>
    <t>#</t>
  </si>
  <si>
    <t>Section</t>
  </si>
  <si>
    <t>Questions</t>
  </si>
  <si>
    <t>Answered</t>
  </si>
  <si>
    <t>Possible Score</t>
  </si>
  <si>
    <t>Actual Score</t>
  </si>
  <si>
    <t>Score %</t>
  </si>
  <si>
    <t>Maturity Level</t>
  </si>
  <si>
    <t>Governance, Independence &amp; Ethics</t>
  </si>
  <si>
    <t>Q1 – Q3</t>
  </si>
  <si>
    <t>Risk-Based Audit Planning</t>
  </si>
  <si>
    <t>Q4 – Q6</t>
  </si>
  <si>
    <t>Audit Execution, Methodology &amp; Analytics</t>
  </si>
  <si>
    <t>Q7 – Q9</t>
  </si>
  <si>
    <t>Reporting, Issue Management &amp; Follow-up</t>
  </si>
  <si>
    <t>Q10 – Q13</t>
  </si>
  <si>
    <t>Resources, Performance &amp; Quality Assurance</t>
  </si>
  <si>
    <t>Q14 – Q17</t>
  </si>
  <si>
    <t>Strategic Value, Technology &amp; Regulatory Compliance</t>
  </si>
  <si>
    <t>Q18 – Q20</t>
  </si>
  <si>
    <t>OVERALL</t>
  </si>
  <si>
    <t>20 Questions</t>
  </si>
  <si>
    <t>Formula: Section % = Actual points ÷ (questions × 100). Overall % = Total points ÷ 2,000.</t>
  </si>
  <si>
    <t>Note: unanswered questions score 0; check the 'Answered' column before reporting.</t>
  </si>
  <si>
    <t>Maturity Level Interpretation</t>
  </si>
  <si>
    <t>Score Range</t>
  </si>
  <si>
    <t>Interpretation</t>
  </si>
  <si>
    <t>0% – 34%</t>
  </si>
  <si>
    <t>Critical</t>
  </si>
  <si>
    <t>Significant gaps exist across the Internal Audit function. Immediate attention is required to establish foundational practices.</t>
  </si>
  <si>
    <t>35% – 54%</t>
  </si>
  <si>
    <t>Low</t>
  </si>
  <si>
    <t>Foundational practices exist but are inconsistently applied. Significant improvement is needed to ensure effectiveness.</t>
  </si>
  <si>
    <t>55% – 74%</t>
  </si>
  <si>
    <t>Medium</t>
  </si>
  <si>
    <t>Core practices are in place and generally effective. Enhancements are needed to achieve best-in-class standards.</t>
  </si>
  <si>
    <t>75% – 89%</t>
  </si>
  <si>
    <t>High</t>
  </si>
  <si>
    <t>The function is robust and aligned with international best practices. Continuous improvement remains a focus.</t>
  </si>
  <si>
    <t>90% – 100%</t>
  </si>
  <si>
    <t>Leading</t>
  </si>
  <si>
    <t>The function is a benchmark for excellence, with advanced practices and independent validation.</t>
  </si>
  <si>
    <t>Answer</t>
  </si>
  <si>
    <t>Points</t>
  </si>
  <si>
    <t>Description</t>
  </si>
  <si>
    <t>A</t>
  </si>
  <si>
    <t>Minimal / Ad hoc – informal, undocumented, reactive</t>
  </si>
  <si>
    <t>B</t>
  </si>
  <si>
    <t>Foundational – practices exist but inconsistently applied</t>
  </si>
  <si>
    <t>Established – well-defined and consistently applied</t>
  </si>
  <si>
    <t>D</t>
  </si>
  <si>
    <t>Leading – advanced, benchmarked and externally validated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</si>
</sst>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>
    <font>
      <sz val="11"/>
      <color theme="1"/>
      <name val="Calibri"/>
      <family val="2"/>
      <charset val="1"/>
    </font>
    <font>
      <b/>
      <sz val="14"/>
      <color rgb="FF1F3A5F"/>
      <name val="Arial"/>
      <charset val="1"/>
    </font>
    <font>
      <i/>
      <sz val="9"/>
      <color rgb="FF555555"/>
      <name val="Arial"/>
      <charset val="1"/>
    </font>
    <font>
      <b/>
      <sz val="10"/>
      <color rgb="FFFFFFFF"/>
      <name val="Arial"/>
      <charset val="1"/>
    </font>
    <font>
      <b/>
      <sz val="11"/>
      <color rgb="FFFFFFFF"/>
      <name val="Arial"/>
      <charset val="1"/>
    </font>
    <font>
      <i/>
      <sz val="8"/>
      <color rgb="FFFFFFFF"/>
      <name val="Arial"/>
      <charset val="1"/>
    </font>
    <font>
      <b/>
      <sz val="9"/>
      <name val="Arial"/>
      <charset val="1"/>
    </font>
    <font>
      <sz val="9"/>
      <name val="Arial"/>
      <charset val="1"/>
    </font>
    <font>
      <b/>
      <sz val="11"/>
      <color rgb="FF0000FF"/>
      <name val="Arial"/>
      <charset val="1"/>
    </font>
    <font>
      <sz val="8"/>
      <color rgb="FF666666"/>
      <name val="Arial"/>
      <charset val="1"/>
    </font>
    <font>
      <sz val="10"/>
      <name val="Arial"/>
      <charset val="1"/>
    </font>
    <font>
      <b/>
      <sz val="11"/>
      <name val="Arial"/>
      <charset val="1"/>
    </font>
    <font>
      <i/>
      <sz val="9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3A5F"/>
        <bgColor rgb="FF333399"/>
      </patternFill>
    </fill>
    <fill>
      <patternFill patternType="solid">
        <fgColor rgb="FF2E7D7A"/>
        <bgColor rgb="FF008080"/>
      </patternFill>
    </fill>
    <fill>
      <patternFill patternType="solid">
        <fgColor rgb="FFFFF4CC"/>
        <bgColor rgb="FFFFF2CC"/>
      </patternFill>
    </fill>
    <fill>
      <patternFill patternType="solid">
        <fgColor rgb="FFEAF1F4"/>
        <bgColor rgb="FFD9EAD3"/>
      </patternFill>
    </fill>
  </fills>
  <borders count="2">
    <border>
      <left/>
      <right/>
      <top/>
      <bottom/>
      <diagonal/>
    </border>
    <border>
      <left style="thin">
        <color rgb="FFB7C4CC"/>
      </left>
      <right style="thin">
        <color rgb="FFB7C4CC"/>
      </right>
      <top style="thin">
        <color rgb="FFB7C4CC"/>
      </top>
      <bottom style="thin">
        <color rgb="FFB7C4C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0" xfId="0" applyFont="1" applyFill="1"/>
    <xf numFmtId="0" fontId="0" fillId="3" borderId="0" xfId="0" applyFill="1"/>
    <xf numFmtId="0" fontId="5" fillId="3" borderId="0" xfId="0" applyFont="1" applyFill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4" borderId="1" xfId="0" applyFont="1" applyFill="1" applyBorder="1" applyAlignment="1">
      <alignment horizontal="center" vertical="top"/>
    </xf>
    <xf numFmtId="0" fontId="7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vertical="top" wrapText="1"/>
    </xf>
    <xf numFmtId="0" fontId="10" fillId="0" borderId="1" xfId="0" applyFont="1" applyBorder="1"/>
    <xf numFmtId="164" fontId="10" fillId="0" borderId="1" xfId="0" applyNumberFormat="1" applyFont="1" applyBorder="1"/>
    <xf numFmtId="0" fontId="11" fillId="5" borderId="1" xfId="0" applyFont="1" applyFill="1" applyBorder="1"/>
    <xf numFmtId="164" fontId="11" fillId="5" borderId="1" xfId="0" applyNumberFormat="1" applyFont="1" applyFill="1" applyBorder="1"/>
    <xf numFmtId="0" fontId="12" fillId="0" borderId="0" xfId="0" applyFont="1"/>
    <xf numFmtId="0" fontId="10" fillId="0" borderId="1" xfId="0" applyFont="1" applyBorder="1" applyAlignment="1">
      <alignment vertical="top" wrapText="1"/>
    </xf>
  </cellXfs>
  <cellStyles count="1">
    <cellStyle name="Normal" xfId="0" builtinId="0"/>
  </cellStyles>
  <dxfs count="5">
    <dxf>
      <fill>
        <patternFill>
          <bgColor rgb="FFCFE2F3"/>
        </patternFill>
      </fill>
    </dxf>
    <dxf>
      <fill>
        <patternFill>
          <bgColor rgb="FFD9EAD3"/>
        </patternFill>
      </fill>
    </dxf>
    <dxf>
      <fill>
        <patternFill>
          <bgColor rgb="FFFFF2CC"/>
        </patternFill>
      </fill>
    </dxf>
    <dxf>
      <fill>
        <patternFill>
          <bgColor rgb="FFFCE5CD"/>
        </patternFill>
      </fill>
    </dxf>
    <dxf>
      <fill>
        <patternFill>
          <bgColor rgb="FFF8D7D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4CC"/>
      <rgbColor rgb="FF808080"/>
      <rgbColor rgb="FF9999FF"/>
      <rgbColor rgb="FF993366"/>
      <rgbColor rgb="FFFFF4CC"/>
      <rgbColor rgb="FFEAF1F4"/>
      <rgbColor rgb="FF660066"/>
      <rgbColor rgb="FFFF8080"/>
      <rgbColor rgb="FF0066CC"/>
      <rgbColor rgb="FFCF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CE5CD"/>
      <rgbColor rgb="FFD9EAD3"/>
      <rgbColor rgb="FFFFF2CC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2E7D7A"/>
      <rgbColor rgb="FF003300"/>
      <rgbColor rgb="FF333300"/>
      <rgbColor rgb="FF993300"/>
      <rgbColor rgb="FF993366"/>
      <rgbColor rgb="FF333399"/>
      <rgbColor rgb="FF5555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"/>
  <sheetViews>
    <sheetView tabSelected="1" zoomScaleNormal="100" workbookViewId="0">
      <pane xSplit="2" ySplit="4" topLeftCell="C5" activePane="bottomRight" state="frozen"/>
      <selection pane="bottomRight" activeCell="G6" sqref="G6"/>
      <selection pane="bottomLeft" activeCell="A5" sqref="A5"/>
      <selection pane="topRight" activeCell="C1" sqref="C1"/>
    </sheetView>
  </sheetViews>
  <sheetFormatPr defaultColWidth="8.7109375" defaultRowHeight="14.45"/>
  <cols>
    <col min="1" max="1" width="6" customWidth="1"/>
    <col min="2" max="2" width="42" customWidth="1"/>
    <col min="3" max="4" width="28" customWidth="1"/>
    <col min="5" max="6" width="32" customWidth="1"/>
    <col min="7" max="7" width="10" customWidth="1"/>
    <col min="8" max="8" width="8" customWidth="1"/>
    <col min="9" max="9" width="11" customWidth="1"/>
  </cols>
  <sheetData>
    <row r="1" spans="1:9" ht="17.45">
      <c r="A1" s="1" t="s">
        <v>0</v>
      </c>
    </row>
    <row r="2" spans="1:9">
      <c r="A2" s="2" t="s">
        <v>1</v>
      </c>
    </row>
    <row r="4" spans="1:9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>
      <c r="A5" s="4" t="s">
        <v>11</v>
      </c>
      <c r="B5" s="5"/>
      <c r="C5" s="5"/>
      <c r="D5" s="6" t="s">
        <v>12</v>
      </c>
      <c r="E5" s="5"/>
      <c r="F5" s="5"/>
      <c r="G5" s="5"/>
      <c r="H5" s="5"/>
      <c r="I5" s="5"/>
    </row>
    <row r="6" spans="1:9" ht="45.6">
      <c r="A6" s="7" t="s">
        <v>13</v>
      </c>
      <c r="B6" s="8" t="s">
        <v>14</v>
      </c>
      <c r="C6" s="8" t="s">
        <v>15</v>
      </c>
      <c r="D6" s="8" t="s">
        <v>16</v>
      </c>
      <c r="E6" s="8" t="s">
        <v>17</v>
      </c>
      <c r="F6" s="8" t="s">
        <v>18</v>
      </c>
      <c r="G6" s="9" t="s">
        <v>19</v>
      </c>
      <c r="H6" s="10">
        <f>IF(G6="A",25,IF(G6="B",50,IF(G6="C",75,IF(G6="D",100,0))))</f>
        <v>75</v>
      </c>
      <c r="I6" s="11" t="s">
        <v>13</v>
      </c>
    </row>
    <row r="7" spans="1:9" ht="45.6">
      <c r="A7" s="7" t="s">
        <v>20</v>
      </c>
      <c r="B7" s="8" t="s">
        <v>21</v>
      </c>
      <c r="C7" s="8" t="s">
        <v>22</v>
      </c>
      <c r="D7" s="8" t="s">
        <v>23</v>
      </c>
      <c r="E7" s="8" t="s">
        <v>24</v>
      </c>
      <c r="F7" s="8" t="s">
        <v>25</v>
      </c>
      <c r="G7" s="9"/>
      <c r="H7" s="10">
        <f>IF(G7="A",25,IF(G7="B",50,IF(G7="C",75,IF(G7="D",100,0))))</f>
        <v>0</v>
      </c>
      <c r="I7" s="11" t="s">
        <v>26</v>
      </c>
    </row>
    <row r="8" spans="1:9" ht="34.15">
      <c r="A8" s="7" t="s">
        <v>27</v>
      </c>
      <c r="B8" s="8" t="s">
        <v>28</v>
      </c>
      <c r="C8" s="8" t="s">
        <v>29</v>
      </c>
      <c r="D8" s="8" t="s">
        <v>30</v>
      </c>
      <c r="E8" s="8" t="s">
        <v>31</v>
      </c>
      <c r="F8" s="8" t="s">
        <v>32</v>
      </c>
      <c r="G8" s="9"/>
      <c r="H8" s="10">
        <f>IF(G8="A",25,IF(G8="B",50,IF(G8="C",75,IF(G8="D",100,0))))</f>
        <v>0</v>
      </c>
      <c r="I8" s="11" t="s">
        <v>33</v>
      </c>
    </row>
    <row r="9" spans="1:9">
      <c r="A9" s="4" t="s">
        <v>34</v>
      </c>
      <c r="B9" s="5"/>
      <c r="C9" s="5"/>
      <c r="D9" s="6" t="s">
        <v>35</v>
      </c>
      <c r="E9" s="5"/>
      <c r="F9" s="5"/>
      <c r="G9" s="5"/>
      <c r="H9" s="5"/>
      <c r="I9" s="5"/>
    </row>
    <row r="10" spans="1:9" ht="45.6">
      <c r="A10" s="7" t="s">
        <v>36</v>
      </c>
      <c r="B10" s="8" t="s">
        <v>37</v>
      </c>
      <c r="C10" s="8" t="s">
        <v>38</v>
      </c>
      <c r="D10" s="8" t="s">
        <v>39</v>
      </c>
      <c r="E10" s="8" t="s">
        <v>40</v>
      </c>
      <c r="F10" s="8" t="s">
        <v>41</v>
      </c>
      <c r="G10" s="9"/>
      <c r="H10" s="10">
        <f>IF(G10="A",25,IF(G10="B",50,IF(G10="C",75,IF(G10="D",100,0))))</f>
        <v>0</v>
      </c>
      <c r="I10" s="11" t="s">
        <v>42</v>
      </c>
    </row>
    <row r="11" spans="1:9" ht="22.9">
      <c r="A11" s="7" t="s">
        <v>43</v>
      </c>
      <c r="B11" s="8" t="s">
        <v>44</v>
      </c>
      <c r="C11" s="8" t="s">
        <v>45</v>
      </c>
      <c r="D11" s="8" t="s">
        <v>46</v>
      </c>
      <c r="E11" s="8" t="s">
        <v>47</v>
      </c>
      <c r="F11" s="8" t="s">
        <v>48</v>
      </c>
      <c r="G11" s="9"/>
      <c r="H11" s="10">
        <f>IF(G11="A",25,IF(G11="B",50,IF(G11="C",75,IF(G11="D",100,0))))</f>
        <v>0</v>
      </c>
      <c r="I11" s="11" t="s">
        <v>49</v>
      </c>
    </row>
    <row r="12" spans="1:9" ht="45.6">
      <c r="A12" s="7" t="s">
        <v>49</v>
      </c>
      <c r="B12" s="8" t="s">
        <v>50</v>
      </c>
      <c r="C12" s="8" t="s">
        <v>51</v>
      </c>
      <c r="D12" s="8" t="s">
        <v>52</v>
      </c>
      <c r="E12" s="8" t="s">
        <v>53</v>
      </c>
      <c r="F12" s="8" t="s">
        <v>54</v>
      </c>
      <c r="G12" s="9"/>
      <c r="H12" s="10">
        <f>IF(G12="A",25,IF(G12="B",50,IF(G12="C",75,IF(G12="D",100,0))))</f>
        <v>0</v>
      </c>
      <c r="I12" s="11" t="s">
        <v>55</v>
      </c>
    </row>
    <row r="13" spans="1:9">
      <c r="A13" s="4" t="s">
        <v>56</v>
      </c>
      <c r="B13" s="5"/>
      <c r="C13" s="5"/>
      <c r="D13" s="6" t="s">
        <v>57</v>
      </c>
      <c r="E13" s="5"/>
      <c r="F13" s="5"/>
      <c r="G13" s="5"/>
      <c r="H13" s="5"/>
      <c r="I13" s="5"/>
    </row>
    <row r="14" spans="1:9" ht="34.15">
      <c r="A14" s="7" t="s">
        <v>55</v>
      </c>
      <c r="B14" s="8" t="s">
        <v>58</v>
      </c>
      <c r="C14" s="8" t="s">
        <v>59</v>
      </c>
      <c r="D14" s="8" t="s">
        <v>60</v>
      </c>
      <c r="E14" s="8" t="s">
        <v>61</v>
      </c>
      <c r="F14" s="8" t="s">
        <v>62</v>
      </c>
      <c r="G14" s="9"/>
      <c r="H14" s="10">
        <f>IF(G14="A",25,IF(G14="B",50,IF(G14="C",75,IF(G14="D",100,0))))</f>
        <v>0</v>
      </c>
      <c r="I14" s="11" t="s">
        <v>63</v>
      </c>
    </row>
    <row r="15" spans="1:9" ht="34.15">
      <c r="A15" s="7" t="s">
        <v>64</v>
      </c>
      <c r="B15" s="8" t="s">
        <v>65</v>
      </c>
      <c r="C15" s="8" t="s">
        <v>66</v>
      </c>
      <c r="D15" s="8" t="s">
        <v>67</v>
      </c>
      <c r="E15" s="8" t="s">
        <v>68</v>
      </c>
      <c r="F15" s="8" t="s">
        <v>69</v>
      </c>
      <c r="G15" s="9"/>
      <c r="H15" s="10">
        <f>IF(G15="A",25,IF(G15="B",50,IF(G15="C",75,IF(G15="D",100,0))))</f>
        <v>0</v>
      </c>
      <c r="I15" s="11" t="s">
        <v>70</v>
      </c>
    </row>
    <row r="16" spans="1:9" ht="22.9">
      <c r="A16" s="7" t="s">
        <v>71</v>
      </c>
      <c r="B16" s="8" t="s">
        <v>72</v>
      </c>
      <c r="C16" s="8" t="s">
        <v>73</v>
      </c>
      <c r="D16" s="8" t="s">
        <v>74</v>
      </c>
      <c r="E16" s="8" t="s">
        <v>75</v>
      </c>
      <c r="F16" s="8" t="s">
        <v>76</v>
      </c>
      <c r="G16" s="9"/>
      <c r="H16" s="10">
        <f>IF(G16="A",25,IF(G16="B",50,IF(G16="C",75,IF(G16="D",100,0))))</f>
        <v>0</v>
      </c>
      <c r="I16" s="11" t="s">
        <v>77</v>
      </c>
    </row>
    <row r="17" spans="1:9">
      <c r="A17" s="4" t="s">
        <v>78</v>
      </c>
      <c r="B17" s="5"/>
      <c r="C17" s="5"/>
      <c r="D17" s="6" t="s">
        <v>79</v>
      </c>
      <c r="E17" s="5"/>
      <c r="F17" s="5"/>
      <c r="G17" s="5"/>
      <c r="H17" s="5"/>
      <c r="I17" s="5"/>
    </row>
    <row r="18" spans="1:9" ht="34.15">
      <c r="A18" s="7" t="s">
        <v>70</v>
      </c>
      <c r="B18" s="8" t="s">
        <v>80</v>
      </c>
      <c r="C18" s="8" t="s">
        <v>81</v>
      </c>
      <c r="D18" s="8" t="s">
        <v>82</v>
      </c>
      <c r="E18" s="8" t="s">
        <v>83</v>
      </c>
      <c r="F18" s="8" t="s">
        <v>84</v>
      </c>
      <c r="G18" s="9"/>
      <c r="H18" s="10">
        <f>IF(G18="A",25,IF(G18="B",50,IF(G18="C",75,IF(G18="D",100,0))))</f>
        <v>0</v>
      </c>
      <c r="I18" s="11" t="s">
        <v>85</v>
      </c>
    </row>
    <row r="19" spans="1:9" ht="22.9">
      <c r="A19" s="7" t="s">
        <v>86</v>
      </c>
      <c r="B19" s="8" t="s">
        <v>87</v>
      </c>
      <c r="C19" s="8" t="s">
        <v>88</v>
      </c>
      <c r="D19" s="8" t="s">
        <v>89</v>
      </c>
      <c r="E19" s="8" t="s">
        <v>90</v>
      </c>
      <c r="F19" s="8" t="s">
        <v>91</v>
      </c>
      <c r="G19" s="9"/>
      <c r="H19" s="10">
        <f>IF(G19="A",25,IF(G19="B",50,IF(G19="C",75,IF(G19="D",100,0))))</f>
        <v>0</v>
      </c>
      <c r="I19" s="11" t="s">
        <v>92</v>
      </c>
    </row>
    <row r="20" spans="1:9" ht="45.6">
      <c r="A20" s="7" t="s">
        <v>93</v>
      </c>
      <c r="B20" s="8" t="s">
        <v>94</v>
      </c>
      <c r="C20" s="8" t="s">
        <v>95</v>
      </c>
      <c r="D20" s="8" t="s">
        <v>96</v>
      </c>
      <c r="E20" s="8" t="s">
        <v>97</v>
      </c>
      <c r="F20" s="8" t="s">
        <v>98</v>
      </c>
      <c r="G20" s="9"/>
      <c r="H20" s="10">
        <f>IF(G20="A",25,IF(G20="B",50,IF(G20="C",75,IF(G20="D",100,0))))</f>
        <v>0</v>
      </c>
      <c r="I20" s="11" t="s">
        <v>99</v>
      </c>
    </row>
    <row r="21" spans="1:9" ht="22.9">
      <c r="A21" s="7" t="s">
        <v>100</v>
      </c>
      <c r="B21" s="8" t="s">
        <v>101</v>
      </c>
      <c r="C21" s="8" t="s">
        <v>102</v>
      </c>
      <c r="D21" s="8" t="s">
        <v>103</v>
      </c>
      <c r="E21" s="8" t="s">
        <v>104</v>
      </c>
      <c r="F21" s="8" t="s">
        <v>105</v>
      </c>
      <c r="G21" s="9"/>
      <c r="H21" s="10">
        <f>IF(G21="A",25,IF(G21="B",50,IF(G21="C",75,IF(G21="D",100,0))))</f>
        <v>0</v>
      </c>
      <c r="I21" s="11" t="s">
        <v>106</v>
      </c>
    </row>
    <row r="22" spans="1:9">
      <c r="A22" s="4" t="s">
        <v>107</v>
      </c>
      <c r="B22" s="5"/>
      <c r="C22" s="5"/>
      <c r="D22" s="6" t="s">
        <v>108</v>
      </c>
      <c r="E22" s="5"/>
      <c r="F22" s="5"/>
      <c r="G22" s="5"/>
      <c r="H22" s="5"/>
      <c r="I22" s="5"/>
    </row>
    <row r="23" spans="1:9" ht="34.15">
      <c r="A23" s="7" t="s">
        <v>92</v>
      </c>
      <c r="B23" s="8" t="s">
        <v>109</v>
      </c>
      <c r="C23" s="8" t="s">
        <v>110</v>
      </c>
      <c r="D23" s="8" t="s">
        <v>111</v>
      </c>
      <c r="E23" s="8" t="s">
        <v>112</v>
      </c>
      <c r="F23" s="8" t="s">
        <v>113</v>
      </c>
      <c r="G23" s="9"/>
      <c r="H23" s="10">
        <f>IF(G23="A",25,IF(G23="B",50,IF(G23="C",75,IF(G23="D",100,0))))</f>
        <v>0</v>
      </c>
      <c r="I23" s="11" t="s">
        <v>114</v>
      </c>
    </row>
    <row r="24" spans="1:9" ht="34.15">
      <c r="A24" s="7" t="s">
        <v>115</v>
      </c>
      <c r="B24" s="8" t="s">
        <v>116</v>
      </c>
      <c r="C24" s="8" t="s">
        <v>117</v>
      </c>
      <c r="D24" s="8" t="s">
        <v>118</v>
      </c>
      <c r="E24" s="8" t="s">
        <v>119</v>
      </c>
      <c r="F24" s="8" t="s">
        <v>120</v>
      </c>
      <c r="G24" s="9"/>
      <c r="H24" s="10">
        <f>IF(G24="A",25,IF(G24="B",50,IF(G24="C",75,IF(G24="D",100,0))))</f>
        <v>0</v>
      </c>
      <c r="I24" s="11" t="s">
        <v>121</v>
      </c>
    </row>
    <row r="25" spans="1:9" ht="34.15">
      <c r="A25" s="7" t="s">
        <v>122</v>
      </c>
      <c r="B25" s="8" t="s">
        <v>123</v>
      </c>
      <c r="C25" s="8" t="s">
        <v>124</v>
      </c>
      <c r="D25" s="8" t="s">
        <v>125</v>
      </c>
      <c r="E25" s="8" t="s">
        <v>126</v>
      </c>
      <c r="F25" s="8" t="s">
        <v>127</v>
      </c>
      <c r="G25" s="9"/>
      <c r="H25" s="10">
        <f>IF(G25="A",25,IF(G25="B",50,IF(G25="C",75,IF(G25="D",100,0))))</f>
        <v>0</v>
      </c>
      <c r="I25" s="11" t="s">
        <v>128</v>
      </c>
    </row>
    <row r="26" spans="1:9" ht="34.15">
      <c r="A26" s="7" t="s">
        <v>106</v>
      </c>
      <c r="B26" s="8" t="s">
        <v>129</v>
      </c>
      <c r="C26" s="8" t="s">
        <v>130</v>
      </c>
      <c r="D26" s="8" t="s">
        <v>131</v>
      </c>
      <c r="E26" s="8" t="s">
        <v>132</v>
      </c>
      <c r="F26" s="8" t="s">
        <v>133</v>
      </c>
      <c r="G26" s="9"/>
      <c r="H26" s="10">
        <f>IF(G26="A",25,IF(G26="B",50,IF(G26="C",75,IF(G26="D",100,0))))</f>
        <v>0</v>
      </c>
      <c r="I26" s="11" t="s">
        <v>134</v>
      </c>
    </row>
    <row r="27" spans="1:9">
      <c r="A27" s="4" t="s">
        <v>135</v>
      </c>
      <c r="B27" s="5"/>
      <c r="C27" s="5"/>
      <c r="D27" s="6" t="s">
        <v>136</v>
      </c>
      <c r="E27" s="5"/>
      <c r="F27" s="5"/>
      <c r="G27" s="5"/>
      <c r="H27" s="5"/>
      <c r="I27" s="5"/>
    </row>
    <row r="28" spans="1:9" ht="34.15">
      <c r="A28" s="7" t="s">
        <v>137</v>
      </c>
      <c r="B28" s="8" t="s">
        <v>138</v>
      </c>
      <c r="C28" s="8" t="s">
        <v>139</v>
      </c>
      <c r="D28" s="8" t="s">
        <v>140</v>
      </c>
      <c r="E28" s="8" t="s">
        <v>141</v>
      </c>
      <c r="F28" s="8" t="s">
        <v>142</v>
      </c>
      <c r="G28" s="9"/>
      <c r="H28" s="10">
        <f>IF(G28="A",25,IF(G28="B",50,IF(G28="C",75,IF(G28="D",100,0))))</f>
        <v>0</v>
      </c>
      <c r="I28" s="11" t="s">
        <v>143</v>
      </c>
    </row>
    <row r="29" spans="1:9" ht="22.9">
      <c r="A29" s="7" t="s">
        <v>121</v>
      </c>
      <c r="B29" s="8" t="s">
        <v>144</v>
      </c>
      <c r="C29" s="8" t="s">
        <v>145</v>
      </c>
      <c r="D29" s="8" t="s">
        <v>146</v>
      </c>
      <c r="E29" s="8" t="s">
        <v>147</v>
      </c>
      <c r="F29" s="8" t="s">
        <v>148</v>
      </c>
      <c r="G29" s="9"/>
      <c r="H29" s="10">
        <f>IF(G29="A",25,IF(G29="B",50,IF(G29="C",75,IF(G29="D",100,0))))</f>
        <v>0</v>
      </c>
      <c r="I29" s="11" t="s">
        <v>149</v>
      </c>
    </row>
    <row r="30" spans="1:9" ht="45.6">
      <c r="A30" s="7" t="s">
        <v>150</v>
      </c>
      <c r="B30" s="8" t="s">
        <v>151</v>
      </c>
      <c r="C30" s="8" t="s">
        <v>152</v>
      </c>
      <c r="D30" s="8" t="s">
        <v>153</v>
      </c>
      <c r="E30" s="8" t="s">
        <v>154</v>
      </c>
      <c r="F30" s="8" t="s">
        <v>155</v>
      </c>
      <c r="G30" s="9"/>
      <c r="H30" s="10">
        <f>IF(G30="A",25,IF(G30="B",50,IF(G30="C",75,IF(G30="D",100,0))))</f>
        <v>0</v>
      </c>
      <c r="I30" s="11" t="s">
        <v>156</v>
      </c>
    </row>
  </sheetData>
  <dataValidations count="1">
    <dataValidation type="list" allowBlank="1" error="Select A, B, C or D" sqref="G6:G8 G10:G12 G14:G16 G18:G21 G23:G26 G28:G30" xr:uid="{00000000-0002-0000-0000-000000000000}">
      <formula1>"A,B,C,D"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"/>
  <sheetViews>
    <sheetView zoomScaleNormal="100" workbookViewId="0"/>
  </sheetViews>
  <sheetFormatPr defaultColWidth="8.7109375" defaultRowHeight="14.45"/>
  <cols>
    <col min="1" max="1" width="5" customWidth="1"/>
    <col min="2" max="2" width="46" customWidth="1"/>
    <col min="3" max="3" width="13" customWidth="1"/>
    <col min="4" max="4" width="11" customWidth="1"/>
    <col min="5" max="5" width="14" customWidth="1"/>
    <col min="6" max="6" width="13" customWidth="1"/>
    <col min="7" max="7" width="10" customWidth="1"/>
    <col min="8" max="8" width="15" customWidth="1"/>
  </cols>
  <sheetData>
    <row r="1" spans="1:8" ht="17.45">
      <c r="A1" s="1" t="s">
        <v>157</v>
      </c>
    </row>
    <row r="2" spans="1:8">
      <c r="A2" s="2" t="s">
        <v>158</v>
      </c>
    </row>
    <row r="4" spans="1:8" ht="26.45">
      <c r="A4" s="3" t="s">
        <v>159</v>
      </c>
      <c r="B4" s="3" t="s">
        <v>160</v>
      </c>
      <c r="C4" s="3" t="s">
        <v>161</v>
      </c>
      <c r="D4" s="3" t="s">
        <v>162</v>
      </c>
      <c r="E4" s="3" t="s">
        <v>163</v>
      </c>
      <c r="F4" s="3" t="s">
        <v>164</v>
      </c>
      <c r="G4" s="3" t="s">
        <v>165</v>
      </c>
      <c r="H4" s="3" t="s">
        <v>166</v>
      </c>
    </row>
    <row r="5" spans="1:8">
      <c r="A5" s="12">
        <v>1</v>
      </c>
      <c r="B5" s="12" t="s">
        <v>167</v>
      </c>
      <c r="C5" s="12" t="s">
        <v>168</v>
      </c>
      <c r="D5" s="12">
        <f>COUNTA(Questionnaire!G6:G8)</f>
        <v>1</v>
      </c>
      <c r="E5" s="12">
        <v>300</v>
      </c>
      <c r="F5" s="12">
        <f>SUM(Questionnaire!H6:H8)</f>
        <v>75</v>
      </c>
      <c r="G5" s="13">
        <f t="shared" ref="G5:G11" si="0">F5/E5</f>
        <v>0.25</v>
      </c>
      <c r="H5" s="12" t="str">
        <f t="shared" ref="H5:H11" si="1">IF(G5&lt;0.35,"Critical",IF(G5&lt;0.55,"Low",IF(G5&lt;0.75,"Medium",IF(G5&lt;0.9,"High","Leading"))))</f>
        <v>Critical</v>
      </c>
    </row>
    <row r="6" spans="1:8">
      <c r="A6" s="12">
        <v>2</v>
      </c>
      <c r="B6" s="12" t="s">
        <v>169</v>
      </c>
      <c r="C6" s="12" t="s">
        <v>170</v>
      </c>
      <c r="D6" s="12">
        <f>COUNTA(Questionnaire!G10:G12)</f>
        <v>0</v>
      </c>
      <c r="E6" s="12">
        <v>300</v>
      </c>
      <c r="F6" s="12">
        <f>SUM(Questionnaire!H10:H12)</f>
        <v>0</v>
      </c>
      <c r="G6" s="13">
        <f t="shared" si="0"/>
        <v>0</v>
      </c>
      <c r="H6" s="12" t="str">
        <f t="shared" si="1"/>
        <v>Critical</v>
      </c>
    </row>
    <row r="7" spans="1:8">
      <c r="A7" s="12">
        <v>3</v>
      </c>
      <c r="B7" s="12" t="s">
        <v>171</v>
      </c>
      <c r="C7" s="12" t="s">
        <v>172</v>
      </c>
      <c r="D7" s="12">
        <f>COUNTA(Questionnaire!G14:G16)</f>
        <v>0</v>
      </c>
      <c r="E7" s="12">
        <v>300</v>
      </c>
      <c r="F7" s="12">
        <f>SUM(Questionnaire!H14:H16)</f>
        <v>0</v>
      </c>
      <c r="G7" s="13">
        <f t="shared" si="0"/>
        <v>0</v>
      </c>
      <c r="H7" s="12" t="str">
        <f t="shared" si="1"/>
        <v>Critical</v>
      </c>
    </row>
    <row r="8" spans="1:8">
      <c r="A8" s="12">
        <v>4</v>
      </c>
      <c r="B8" s="12" t="s">
        <v>173</v>
      </c>
      <c r="C8" s="12" t="s">
        <v>174</v>
      </c>
      <c r="D8" s="12">
        <f>COUNTA(Questionnaire!G18:G21)</f>
        <v>0</v>
      </c>
      <c r="E8" s="12">
        <v>400</v>
      </c>
      <c r="F8" s="12">
        <f>SUM(Questionnaire!H18:H21)</f>
        <v>0</v>
      </c>
      <c r="G8" s="13">
        <f t="shared" si="0"/>
        <v>0</v>
      </c>
      <c r="H8" s="12" t="str">
        <f t="shared" si="1"/>
        <v>Critical</v>
      </c>
    </row>
    <row r="9" spans="1:8">
      <c r="A9" s="12">
        <v>5</v>
      </c>
      <c r="B9" s="12" t="s">
        <v>175</v>
      </c>
      <c r="C9" s="12" t="s">
        <v>176</v>
      </c>
      <c r="D9" s="12">
        <f>COUNTA(Questionnaire!G23:G26)</f>
        <v>0</v>
      </c>
      <c r="E9" s="12">
        <v>400</v>
      </c>
      <c r="F9" s="12">
        <f>SUM(Questionnaire!H23:H26)</f>
        <v>0</v>
      </c>
      <c r="G9" s="13">
        <f t="shared" si="0"/>
        <v>0</v>
      </c>
      <c r="H9" s="12" t="str">
        <f t="shared" si="1"/>
        <v>Critical</v>
      </c>
    </row>
    <row r="10" spans="1:8">
      <c r="A10" s="12">
        <v>6</v>
      </c>
      <c r="B10" s="12" t="s">
        <v>177</v>
      </c>
      <c r="C10" s="12" t="s">
        <v>178</v>
      </c>
      <c r="D10" s="12">
        <f>COUNTA(Questionnaire!G28:G30)</f>
        <v>0</v>
      </c>
      <c r="E10" s="12">
        <v>300</v>
      </c>
      <c r="F10" s="12">
        <f>SUM(Questionnaire!H28:H30)</f>
        <v>0</v>
      </c>
      <c r="G10" s="13">
        <f t="shared" si="0"/>
        <v>0</v>
      </c>
      <c r="H10" s="12" t="str">
        <f t="shared" si="1"/>
        <v>Critical</v>
      </c>
    </row>
    <row r="11" spans="1:8">
      <c r="A11" s="14"/>
      <c r="B11" s="14" t="s">
        <v>179</v>
      </c>
      <c r="C11" s="14" t="s">
        <v>180</v>
      </c>
      <c r="D11" s="14">
        <f>SUM(D5:D10)</f>
        <v>1</v>
      </c>
      <c r="E11" s="14">
        <f>SUM(E5:E10)</f>
        <v>2000</v>
      </c>
      <c r="F11" s="14">
        <f>SUM(F5:F10)</f>
        <v>75</v>
      </c>
      <c r="G11" s="15">
        <f t="shared" si="0"/>
        <v>3.7499999999999999E-2</v>
      </c>
      <c r="H11" s="14" t="str">
        <f t="shared" si="1"/>
        <v>Critical</v>
      </c>
    </row>
    <row r="13" spans="1:8">
      <c r="A13" s="16" t="s">
        <v>181</v>
      </c>
    </row>
    <row r="14" spans="1:8">
      <c r="A14" s="16" t="s">
        <v>182</v>
      </c>
    </row>
  </sheetData>
  <conditionalFormatting sqref="H5:H11">
    <cfRule type="cellIs" dxfId="4" priority="2" operator="equal">
      <formula>"Critical"</formula>
    </cfRule>
    <cfRule type="cellIs" dxfId="3" priority="3" operator="equal">
      <formula>"Low"</formula>
    </cfRule>
    <cfRule type="cellIs" dxfId="2" priority="4" operator="equal">
      <formula>"Medium"</formula>
    </cfRule>
    <cfRule type="cellIs" dxfId="1" priority="5" operator="equal">
      <formula>"High"</formula>
    </cfRule>
    <cfRule type="cellIs" dxfId="0" priority="6" operator="equal">
      <formula>"Leading"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4"/>
  <sheetViews>
    <sheetView zoomScaleNormal="100" workbookViewId="0"/>
  </sheetViews>
  <sheetFormatPr defaultColWidth="8.7109375" defaultRowHeight="14.45"/>
  <cols>
    <col min="1" max="1" width="14" customWidth="1"/>
    <col min="2" max="2" width="16" customWidth="1"/>
    <col min="3" max="3" width="90" customWidth="1"/>
  </cols>
  <sheetData>
    <row r="1" spans="1:3" ht="17.45">
      <c r="A1" s="1" t="s">
        <v>183</v>
      </c>
    </row>
    <row r="3" spans="1:3">
      <c r="A3" s="3" t="s">
        <v>184</v>
      </c>
      <c r="B3" s="3" t="s">
        <v>166</v>
      </c>
      <c r="C3" s="3" t="s">
        <v>185</v>
      </c>
    </row>
    <row r="4" spans="1:3" ht="26.45">
      <c r="A4" s="17" t="s">
        <v>186</v>
      </c>
      <c r="B4" s="17" t="s">
        <v>187</v>
      </c>
      <c r="C4" s="17" t="s">
        <v>188</v>
      </c>
    </row>
    <row r="5" spans="1:3" ht="26.45">
      <c r="A5" s="17" t="s">
        <v>189</v>
      </c>
      <c r="B5" s="17" t="s">
        <v>190</v>
      </c>
      <c r="C5" s="17" t="s">
        <v>191</v>
      </c>
    </row>
    <row r="6" spans="1:3" ht="26.45">
      <c r="A6" s="17" t="s">
        <v>192</v>
      </c>
      <c r="B6" s="17" t="s">
        <v>193</v>
      </c>
      <c r="C6" s="17" t="s">
        <v>194</v>
      </c>
    </row>
    <row r="7" spans="1:3" ht="26.45">
      <c r="A7" s="17" t="s">
        <v>195</v>
      </c>
      <c r="B7" s="17" t="s">
        <v>196</v>
      </c>
      <c r="C7" s="17" t="s">
        <v>197</v>
      </c>
    </row>
    <row r="8" spans="1:3">
      <c r="A8" s="17" t="s">
        <v>198</v>
      </c>
      <c r="B8" s="17" t="s">
        <v>199</v>
      </c>
      <c r="C8" s="17" t="s">
        <v>200</v>
      </c>
    </row>
    <row r="10" spans="1:3">
      <c r="A10" s="3" t="s">
        <v>201</v>
      </c>
      <c r="B10" s="3" t="s">
        <v>202</v>
      </c>
      <c r="C10" s="3" t="s">
        <v>203</v>
      </c>
    </row>
    <row r="11" spans="1:3">
      <c r="A11" s="12" t="s">
        <v>204</v>
      </c>
      <c r="B11" s="12">
        <v>25</v>
      </c>
      <c r="C11" s="12" t="s">
        <v>205</v>
      </c>
    </row>
    <row r="12" spans="1:3">
      <c r="A12" s="12" t="s">
        <v>206</v>
      </c>
      <c r="B12" s="12">
        <v>50</v>
      </c>
      <c r="C12" s="12" t="s">
        <v>207</v>
      </c>
    </row>
    <row r="13" spans="1:3">
      <c r="A13" s="12" t="s">
        <v>19</v>
      </c>
      <c r="B13" s="12">
        <v>75</v>
      </c>
      <c r="C13" s="12" t="s">
        <v>208</v>
      </c>
    </row>
    <row r="14" spans="1:3">
      <c r="A14" s="12" t="s">
        <v>209</v>
      </c>
      <c r="B14" s="12">
        <v>100</v>
      </c>
      <c r="C14" s="12" t="s">
        <v>210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Ezzeddine Amara</cp:lastModifiedBy>
  <cp:revision>0</cp:revision>
  <dcterms:created xsi:type="dcterms:W3CDTF">2026-10-21T11:48:51Z</dcterms:created>
  <dcterms:modified xsi:type="dcterms:W3CDTF">2026-10-21T12:23:48Z</dcterms:modified>
  <cp:category/>
  <cp:contentStatus/>
</cp:coreProperties>
</file>